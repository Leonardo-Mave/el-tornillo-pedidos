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" sheetId="1" state="visible" r:id="rId3"/>
    <sheet name="Resumen" sheetId="2" state="visible" r:id="rId4"/>
    <sheet name="Estados" sheetId="3" state="visible" r:id="rId5"/>
    <sheet name="Listas" sheetId="4" state="visible" r:id="rId6"/>
  </sheets>
  <definedNames>
    <definedName function="false" hidden="true" localSheetId="0" name="_xlnm._FilterDatabase" vbProcedure="false">Pedidos!$A$4:$M$9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<sst xmlns="http://schemas.openxmlformats.org/spreadsheetml/2006/main" count="132" uniqueCount="74">
  <si>
    <t xml:space="preserve">Ferretería y Repuestos El Tornillo — Registro de consultas y pedidos</t>
  </si>
  <si>
    <t xml:space="preserve">Cómo se usa: las filas se cargan solas desde el formulario (n8n). El equipo solo edita las columnas Estado y Responsable (celdas amarillas). Las filas con urgencia "Hoy" se marcan en rojo.</t>
  </si>
  <si>
    <t xml:space="preserve">ID</t>
  </si>
  <si>
    <t xml:space="preserve">Fecha y hora</t>
  </si>
  <si>
    <t xml:space="preserve">Cliente</t>
  </si>
  <si>
    <t xml:space="preserve">Mail</t>
  </si>
  <si>
    <t xml:space="preserve">Teléfono</t>
  </si>
  <si>
    <t xml:space="preserve">Tipo</t>
  </si>
  <si>
    <t xml:space="preserve">Rubro</t>
  </si>
  <si>
    <t xml:space="preserve">Detalle</t>
  </si>
  <si>
    <t xml:space="preserve">Cantidad</t>
  </si>
  <si>
    <t xml:space="preserve">Urgencia</t>
  </si>
  <si>
    <t xml:space="preserve">Entrega</t>
  </si>
  <si>
    <t xml:space="preserve">Estado</t>
  </si>
  <si>
    <t xml:space="preserve">Responsable</t>
  </si>
  <si>
    <t xml:space="preserve">PED-001</t>
  </si>
  <si>
    <t xml:space="preserve">Juan Pérez</t>
  </si>
  <si>
    <t xml:space="preserve">juan.perez@ejemplo.com</t>
  </si>
  <si>
    <t xml:space="preserve">2923-456789</t>
  </si>
  <si>
    <t xml:space="preserve">Pedido</t>
  </si>
  <si>
    <t xml:space="preserve">Repuestos auto/moto</t>
  </si>
  <si>
    <t xml:space="preserve">Pastillas de freno delanteras para VW Gol Trend 2014</t>
  </si>
  <si>
    <t xml:space="preserve">Hoy</t>
  </si>
  <si>
    <t xml:space="preserve">Retira en local</t>
  </si>
  <si>
    <t xml:space="preserve">Entregado</t>
  </si>
  <si>
    <t xml:space="preserve">Martín</t>
  </si>
  <si>
    <t xml:space="preserve">PED-002</t>
  </si>
  <si>
    <t xml:space="preserve">María González</t>
  </si>
  <si>
    <t xml:space="preserve">mgonzalez@ejemplo.com</t>
  </si>
  <si>
    <t xml:space="preserve">2923-112233</t>
  </si>
  <si>
    <t xml:space="preserve">Presupuesto</t>
  </si>
  <si>
    <t xml:space="preserve">Ferretería</t>
  </si>
  <si>
    <t xml:space="preserve">Cable unipolar 2,5 mm (rollo de 100 m) y 10 tomacorrientes</t>
  </si>
  <si>
    <t xml:space="preserve">Esta semana</t>
  </si>
  <si>
    <t xml:space="preserve">Envío</t>
  </si>
  <si>
    <t xml:space="preserve">En proceso</t>
  </si>
  <si>
    <t xml:space="preserve">Lucía</t>
  </si>
  <si>
    <t xml:space="preserve">PED-003</t>
  </si>
  <si>
    <t xml:space="preserve">Carlos Rodríguez</t>
  </si>
  <si>
    <t xml:space="preserve">carlos.rod@ejemplo.com</t>
  </si>
  <si>
    <t xml:space="preserve">Disponibilidad</t>
  </si>
  <si>
    <t xml:space="preserve">Herramientas</t>
  </si>
  <si>
    <t xml:space="preserve">Taladro percutor 13 mm, ¿tienen en stock?</t>
  </si>
  <si>
    <t xml:space="preserve">Sin apuro</t>
  </si>
  <si>
    <t xml:space="preserve">Listo</t>
  </si>
  <si>
    <t xml:space="preserve">PED-004</t>
  </si>
  <si>
    <t xml:space="preserve">Ana Fernández</t>
  </si>
  <si>
    <t xml:space="preserve">ana.f@ejemplo.com</t>
  </si>
  <si>
    <t xml:space="preserve">2923-998877</t>
  </si>
  <si>
    <t xml:space="preserve">Filtro de aceite y de aire para Fiat Uno 2010</t>
  </si>
  <si>
    <t xml:space="preserve">PED-005</t>
  </si>
  <si>
    <t xml:space="preserve">Luis Martínez</t>
  </si>
  <si>
    <t xml:space="preserve">luism@ejemplo.com</t>
  </si>
  <si>
    <t xml:space="preserve">2923-334455</t>
  </si>
  <si>
    <t xml:space="preserve">Reclamo</t>
  </si>
  <si>
    <t xml:space="preserve">Llegó una canilla con rosca incorrecta, necesito el cambio</t>
  </si>
  <si>
    <t xml:space="preserve">Nuevo</t>
  </si>
  <si>
    <t xml:space="preserve">Sin asignar</t>
  </si>
  <si>
    <t xml:space="preserve">Resumen de pedidos</t>
  </si>
  <si>
    <t xml:space="preserve">Total</t>
  </si>
  <si>
    <t xml:space="preserve">Urgencia (pendientes)</t>
  </si>
  <si>
    <t xml:space="preserve">Tipo de consulta</t>
  </si>
  <si>
    <t xml:space="preserve">Significado de los estados</t>
  </si>
  <si>
    <t xml:space="preserve">Qué significa</t>
  </si>
  <si>
    <t xml:space="preserve">Quién lo cambia</t>
  </si>
  <si>
    <t xml:space="preserve">La consulta acaba de entrar y todavía nadie la tomó.</t>
  </si>
  <si>
    <t xml:space="preserve">Automático (n8n)</t>
  </si>
  <si>
    <t xml:space="preserve">Alguien del equipo se hizo cargo y lo está resolviendo.</t>
  </si>
  <si>
    <t xml:space="preserve">El equipo</t>
  </si>
  <si>
    <t xml:space="preserve">Está preparado, pero el cliente aún no lo recibió (esperando retiro o despacho).</t>
  </si>
  <si>
    <t xml:space="preserve">El cliente ya lo retiró o lo recibió. Pedido cerrado.</t>
  </si>
  <si>
    <t xml:space="preserve">Las filas con urgencia "Hoy" se marcan en rojo hasta que el estado pasa a Listo o Entregado.</t>
  </si>
  <si>
    <t xml:space="preserve">Otros</t>
  </si>
  <si>
    <t xml:space="preserve">Estas listas alimentan los desplegables de la hoja Pedidos. Para agregar una opción, escribila al final de su columna y ampliá el rango de la validación.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</si>
</sst>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F5597"/>
        <bgColor rgb="FF1F4E7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46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v>46307.3854166667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6" t="s">
        <v>21</v>
      </c>
      <c r="I5" s="7" t="n">
        <v>1</v>
      </c>
      <c r="J5" s="4" t="s">
        <v>22</v>
      </c>
      <c r="K5" s="4" t="s">
        <v>23</v>
      </c>
      <c r="L5" s="8" t="s">
        <v>24</v>
      </c>
      <c r="M5" s="8" t="s">
        <v>25</v>
      </c>
    </row>
    <row r="6" customFormat="false" ht="23.85" hidden="false" customHeight="false" outlineLevel="0" collapsed="false">
      <c r="A6" s="4" t="s">
        <v>26</v>
      </c>
      <c r="B6" s="5" t="n">
        <v>46307.4444444445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6" t="s">
        <v>32</v>
      </c>
      <c r="I6" s="7" t="n">
        <v>1</v>
      </c>
      <c r="J6" s="4" t="s">
        <v>33</v>
      </c>
      <c r="K6" s="4" t="s">
        <v>34</v>
      </c>
      <c r="L6" s="8" t="s">
        <v>35</v>
      </c>
      <c r="M6" s="8" t="s">
        <v>36</v>
      </c>
    </row>
    <row r="7" customFormat="false" ht="15" hidden="false" customHeight="false" outlineLevel="0" collapsed="false">
      <c r="A7" s="4" t="s">
        <v>37</v>
      </c>
      <c r="B7" s="5" t="n">
        <v>46308.3368055556</v>
      </c>
      <c r="C7" s="4" t="s">
        <v>38</v>
      </c>
      <c r="D7" s="4" t="s">
        <v>39</v>
      </c>
      <c r="E7" s="4"/>
      <c r="F7" s="4" t="s">
        <v>40</v>
      </c>
      <c r="G7" s="4" t="s">
        <v>41</v>
      </c>
      <c r="H7" s="6" t="s">
        <v>42</v>
      </c>
      <c r="I7" s="7" t="n">
        <v>1</v>
      </c>
      <c r="J7" s="4" t="s">
        <v>43</v>
      </c>
      <c r="K7" s="4" t="s">
        <v>23</v>
      </c>
      <c r="L7" s="8" t="s">
        <v>44</v>
      </c>
      <c r="M7" s="8" t="s">
        <v>25</v>
      </c>
    </row>
    <row r="8" customFormat="false" ht="15" hidden="false" customHeight="false" outlineLevel="0" collapsed="false">
      <c r="A8" s="4" t="s">
        <v>45</v>
      </c>
      <c r="B8" s="5" t="n">
        <v>46308.4791666667</v>
      </c>
      <c r="C8" s="4" t="s">
        <v>46</v>
      </c>
      <c r="D8" s="4" t="s">
        <v>47</v>
      </c>
      <c r="E8" s="4" t="s">
        <v>48</v>
      </c>
      <c r="F8" s="4" t="s">
        <v>19</v>
      </c>
      <c r="G8" s="4" t="s">
        <v>20</v>
      </c>
      <c r="H8" s="6" t="s">
        <v>49</v>
      </c>
      <c r="I8" s="7" t="n">
        <v>2</v>
      </c>
      <c r="J8" s="4" t="s">
        <v>33</v>
      </c>
      <c r="K8" s="4" t="s">
        <v>23</v>
      </c>
      <c r="L8" s="8" t="s">
        <v>24</v>
      </c>
      <c r="M8" s="8" t="s">
        <v>25</v>
      </c>
    </row>
    <row r="9" customFormat="false" ht="23.85" hidden="false" customHeight="false" outlineLevel="0" collapsed="false">
      <c r="A9" s="4" t="s">
        <v>50</v>
      </c>
      <c r="B9" s="5" t="n">
        <v>46309.4097222222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31</v>
      </c>
      <c r="H9" s="6" t="s">
        <v>55</v>
      </c>
      <c r="I9" s="7" t="n">
        <v>1</v>
      </c>
      <c r="J9" s="4" t="s">
        <v>22</v>
      </c>
      <c r="K9" s="4" t="s">
        <v>34</v>
      </c>
      <c r="L9" s="8" t="s">
        <v>56</v>
      </c>
      <c r="M9" s="8" t="s">
        <v>57</v>
      </c>
    </row>
    <row r="10" customFormat="false" ht="15" hidden="false" customHeight="false" outlineLevel="0" collapsed="false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  <c r="L10" s="11"/>
      <c r="M10" s="11"/>
    </row>
    <row r="11" customFormat="false" ht="15" hidden="false" customHeight="false" outlineLevel="0" collapsed="false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11"/>
      <c r="M11" s="11"/>
    </row>
    <row r="12" customFormat="false" ht="15" hidden="false" customHeight="false" outlineLevel="0" collapsed="false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11"/>
      <c r="M12" s="11"/>
    </row>
    <row r="13" customFormat="false" ht="15" hidden="false" customHeight="false" outlineLevel="0" collapsed="false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11"/>
      <c r="M13" s="11"/>
    </row>
    <row r="14" customFormat="false" ht="15" hidden="false" customHeight="false" outlineLevel="0" collapsed="false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11"/>
      <c r="M14" s="11"/>
    </row>
    <row r="15" customFormat="false" ht="15" hidden="false" customHeight="false" outlineLevel="0" collapsed="false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11"/>
      <c r="M15" s="11"/>
    </row>
    <row r="16" customFormat="false" ht="15" hidden="false" customHeight="false" outlineLevel="0" collapsed="false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11"/>
      <c r="M16" s="11"/>
    </row>
    <row r="17" customFormat="false" ht="15" hidden="false" customHeight="false" outlineLevel="0" collapsed="false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11"/>
      <c r="M17" s="11"/>
    </row>
    <row r="18" customFormat="false" ht="15" hidden="false" customHeight="false" outlineLevel="0" collapsed="false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11"/>
      <c r="M18" s="11"/>
    </row>
    <row r="19" customFormat="false" ht="15" hidden="false" customHeight="false" outlineLevel="0" collapsed="false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11"/>
      <c r="M19" s="11"/>
    </row>
    <row r="20" customFormat="false" ht="15" hidden="false" customHeight="false" outlineLevel="0" collapsed="false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11"/>
      <c r="M20" s="11"/>
    </row>
    <row r="21" customFormat="false" ht="15" hidden="false" customHeight="false" outlineLevel="0" collapsed="false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11"/>
      <c r="M21" s="11"/>
    </row>
    <row r="22" customFormat="false" ht="15" hidden="false" customHeight="false" outlineLevel="0" collapsed="false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11"/>
      <c r="M22" s="11"/>
    </row>
    <row r="23" customFormat="false" ht="15" hidden="false" customHeight="false" outlineLevel="0" collapsed="false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11"/>
      <c r="M23" s="11"/>
    </row>
    <row r="24" customFormat="false" ht="15" hidden="false" customHeight="false" outlineLevel="0" collapsed="false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11"/>
      <c r="M24" s="11"/>
    </row>
    <row r="25" customFormat="false" ht="15" hidden="false" customHeight="false" outlineLevel="0" collapsed="false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11"/>
      <c r="M25" s="11"/>
    </row>
    <row r="26" customFormat="false" ht="15" hidden="false" customHeight="false" outlineLevel="0" collapsed="false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11"/>
      <c r="M26" s="11"/>
    </row>
    <row r="27" customFormat="false" ht="15" hidden="false" customHeight="false" outlineLevel="0" collapsed="false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11"/>
      <c r="M27" s="11"/>
    </row>
    <row r="28" customFormat="false" ht="15" hidden="false" customHeight="false" outlineLevel="0" collapsed="false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11"/>
      <c r="M28" s="11"/>
    </row>
    <row r="29" customFormat="false" ht="15" hidden="false" customHeight="false" outlineLevel="0" collapsed="false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11"/>
      <c r="M29" s="11"/>
    </row>
    <row r="30" customFormat="false" ht="15" hidden="false" customHeight="false" outlineLevel="0" collapsed="false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11"/>
      <c r="M30" s="11"/>
    </row>
    <row r="31" customFormat="false" ht="15" hidden="false" customHeight="false" outlineLevel="0" collapsed="false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11"/>
      <c r="M31" s="11"/>
    </row>
    <row r="32" customFormat="false" ht="15" hidden="false" customHeight="false" outlineLevel="0" collapsed="false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11"/>
      <c r="M32" s="11"/>
    </row>
    <row r="33" customFormat="false" ht="15" hidden="false" customHeight="false" outlineLevel="0" collapsed="false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11"/>
      <c r="M33" s="11"/>
    </row>
    <row r="34" customFormat="false" ht="15" hidden="false" customHeight="false" outlineLevel="0" collapsed="false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11"/>
      <c r="M34" s="11"/>
    </row>
    <row r="35" customFormat="false" ht="15" hidden="false" customHeight="false" outlineLevel="0" collapsed="false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11"/>
      <c r="M35" s="11"/>
    </row>
    <row r="36" customFormat="false" ht="15" hidden="false" customHeight="false" outlineLevel="0" collapsed="false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11"/>
      <c r="M36" s="11"/>
    </row>
    <row r="37" customFormat="false" ht="15" hidden="false" customHeight="false" outlineLevel="0" collapsed="false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11"/>
      <c r="M37" s="11"/>
    </row>
    <row r="38" customFormat="false" ht="15" hidden="false" customHeight="false" outlineLevel="0" collapsed="false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11"/>
      <c r="M38" s="11"/>
    </row>
    <row r="39" customFormat="false" ht="15" hidden="false" customHeight="false" outlineLevel="0" collapsed="false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11"/>
      <c r="M39" s="11"/>
    </row>
    <row r="40" customFormat="false" ht="15" hidden="false" customHeight="false" outlineLevel="0" collapsed="false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11"/>
      <c r="M40" s="11"/>
    </row>
    <row r="41" customFormat="false" ht="15" hidden="false" customHeight="false" outlineLevel="0" collapsed="false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11"/>
      <c r="M41" s="11"/>
    </row>
    <row r="42" customFormat="false" ht="15" hidden="false" customHeight="false" outlineLevel="0" collapsed="false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11"/>
      <c r="M42" s="11"/>
    </row>
    <row r="43" customFormat="false" ht="15" hidden="false" customHeight="false" outlineLevel="0" collapsed="false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11"/>
      <c r="M43" s="11"/>
    </row>
    <row r="44" customFormat="false" ht="15" hidden="false" customHeight="false" outlineLevel="0" collapsed="false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11"/>
      <c r="M44" s="11"/>
    </row>
    <row r="45" customFormat="false" ht="15" hidden="false" customHeight="false" outlineLevel="0" collapsed="false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11"/>
      <c r="M45" s="11"/>
    </row>
    <row r="46" customFormat="false" ht="15" hidden="false" customHeight="false" outlineLevel="0" collapsed="false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11"/>
      <c r="M46" s="11"/>
    </row>
    <row r="47" customFormat="false" ht="15" hidden="false" customHeight="false" outlineLevel="0" collapsed="false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11"/>
      <c r="M47" s="11"/>
    </row>
    <row r="48" customFormat="false" ht="15" hidden="false" customHeight="false" outlineLevel="0" collapsed="false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11"/>
      <c r="M48" s="11"/>
    </row>
    <row r="49" customFormat="false" ht="15" hidden="false" customHeight="false" outlineLevel="0" collapsed="false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11"/>
      <c r="M49" s="11"/>
    </row>
    <row r="50" customFormat="false" ht="15" hidden="false" customHeight="false" outlineLevel="0" collapsed="false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11"/>
      <c r="M50" s="11"/>
    </row>
    <row r="51" customFormat="false" ht="15" hidden="false" customHeight="false" outlineLevel="0" collapsed="false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11"/>
      <c r="M51" s="11"/>
    </row>
    <row r="52" customFormat="false" ht="15" hidden="false" customHeight="false" outlineLevel="0" collapsed="false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11"/>
      <c r="M52" s="11"/>
    </row>
    <row r="53" customFormat="false" ht="15" hidden="false" customHeight="false" outlineLevel="0" collapsed="false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11"/>
      <c r="M53" s="11"/>
    </row>
    <row r="54" customFormat="false" ht="15" hidden="false" customHeight="false" outlineLevel="0" collapsed="false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11"/>
      <c r="M54" s="11"/>
    </row>
    <row r="55" customFormat="false" ht="15" hidden="false" customHeight="false" outlineLevel="0" collapsed="false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11"/>
      <c r="M55" s="11"/>
    </row>
    <row r="56" customFormat="false" ht="15" hidden="false" customHeight="false" outlineLevel="0" collapsed="false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11"/>
      <c r="M56" s="11"/>
    </row>
    <row r="57" customFormat="false" ht="15" hidden="false" customHeight="false" outlineLevel="0" collapsed="false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11"/>
      <c r="M57" s="11"/>
    </row>
    <row r="58" customFormat="false" ht="15" hidden="false" customHeight="false" outlineLevel="0" collapsed="false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11"/>
      <c r="M58" s="11"/>
    </row>
    <row r="59" customFormat="false" ht="15" hidden="false" customHeight="false" outlineLevel="0" collapsed="false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11"/>
      <c r="M59" s="11"/>
    </row>
  </sheetData>
  <autoFilter ref="A4:M9"/>
  <mergeCells count="2">
    <mergeCell ref="A1:M1"/>
    <mergeCell ref="A2:M2"/>
  </mergeCells>
  <conditionalFormatting sqref="L5:L500">
    <cfRule type="cellIs" priority="2" operator="equal" aboveAverage="0" equalAverage="0" bottom="0" percent="0" rank="0" text="" dxfId="15">
      <formula>"Nuevo"</formula>
    </cfRule>
    <cfRule type="cellIs" priority="3" operator="equal" aboveAverage="0" equalAverage="0" bottom="0" percent="0" rank="0" text="" dxfId="16">
      <formula>"En proceso"</formula>
    </cfRule>
    <cfRule type="cellIs" priority="4" operator="equal" aboveAverage="0" equalAverage="0" bottom="0" percent="0" rank="0" text="" dxfId="17">
      <formula>"Listo"</formula>
    </cfRule>
    <cfRule type="cellIs" priority="5" operator="equal" aboveAverage="0" equalAverage="0" bottom="0" percent="0" rank="0" text="" dxfId="18">
      <formula>"Entregado"</formula>
    </cfRule>
  </conditionalFormatting>
  <conditionalFormatting sqref="J5:J500">
    <cfRule type="cellIs" priority="6" operator="equal" aboveAverage="0" equalAverage="0" bottom="0" percent="0" rank="0" text="" dxfId="19">
      <formula>"Hoy"</formula>
    </cfRule>
  </conditionalFormatting>
  <conditionalFormatting sqref="A5:K500">
    <cfRule type="expression" priority="7" aboveAverage="0" equalAverage="0" bottom="0" percent="0" rank="0" text="" dxfId="20">
      <formula>AND($J5="Hoy",$L5&lt;&gt;"Listo",$L5&lt;&gt;"Entregado")</formula>
    </cfRule>
  </conditionalFormatting>
  <dataValidations count="6">
    <dataValidation allowBlank="true" error="Elegí una opción de la lista" errorStyle="stop" errorTitle="Valor no válido" operator="between" showDropDown="false" showErrorMessage="false" showInputMessage="false" sqref="F5:F500" type="list">
      <formula1>Listas!$A$2:$A$5</formula1>
      <formula2>0</formula2>
    </dataValidation>
    <dataValidation allowBlank="true" error="Elegí una opción de la lista" errorStyle="stop" errorTitle="Valor no válido" operator="between" showDropDown="false" showErrorMessage="false" showInputMessage="false" sqref="G5:G500" type="list">
      <formula1>Listas!$B$2:$B$5</formula1>
      <formula2>0</formula2>
    </dataValidation>
    <dataValidation allowBlank="true" error="Elegí una opción de la lista" errorStyle="stop" errorTitle="Valor no válido" operator="between" showDropDown="false" showErrorMessage="false" showInputMessage="false" sqref="J5:J500" type="list">
      <formula1>Listas!$C$2:$C$4</formula1>
      <formula2>0</formula2>
    </dataValidation>
    <dataValidation allowBlank="true" error="Elegí una opción de la lista" errorStyle="stop" errorTitle="Valor no válido" operator="between" showDropDown="false" showErrorMessage="false" showInputMessage="false" sqref="K5:K500" type="list">
      <formula1>Listas!$D$2:$D$3</formula1>
      <formula2>0</formula2>
    </dataValidation>
    <dataValidation allowBlank="true" error="Elegí una opción de la lista" errorStyle="stop" errorTitle="Valor no válido" operator="between" showDropDown="false" showErrorMessage="false" showInputMessage="false" sqref="L5:L500" type="list">
      <formula1>Listas!$E$2:$E$5</formula1>
      <formula2>0</formula2>
    </dataValidation>
    <dataValidation allowBlank="true" error="Elegí una opción de la lista" errorStyle="stop" errorTitle="Valor no válido" operator="between" showDropDown="false" showErrorMessage="false" showInputMessage="false" sqref="M5:M500" type="list">
      <formula1>Listas!$F$2:$F$4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58</v>
      </c>
      <c r="B1" s="1"/>
      <c r="C1" s="1"/>
    </row>
    <row r="3" customFormat="false" ht="15" hidden="false" customHeight="false" outlineLevel="0" collapsed="false">
      <c r="A3" s="12" t="s">
        <v>13</v>
      </c>
      <c r="B3" s="12" t="s">
        <v>10</v>
      </c>
    </row>
    <row r="4" customFormat="false" ht="15" hidden="false" customHeight="false" outlineLevel="0" collapsed="false">
      <c r="A4" s="13" t="s">
        <v>56</v>
      </c>
      <c r="B4" s="14" t="n">
        <f aca="false">COUNTIF(Pedidos!$L$5:$L$500,A4)</f>
        <v>1</v>
      </c>
    </row>
    <row r="5" customFormat="false" ht="15" hidden="false" customHeight="false" outlineLevel="0" collapsed="false">
      <c r="A5" s="13" t="s">
        <v>35</v>
      </c>
      <c r="B5" s="14" t="n">
        <f aca="false">COUNTIF(Pedidos!$L$5:$L$500,A5)</f>
        <v>1</v>
      </c>
    </row>
    <row r="6" customFormat="false" ht="15" hidden="false" customHeight="false" outlineLevel="0" collapsed="false">
      <c r="A6" s="13" t="s">
        <v>44</v>
      </c>
      <c r="B6" s="14" t="n">
        <f aca="false">COUNTIF(Pedidos!$L$5:$L$500,A6)</f>
        <v>1</v>
      </c>
    </row>
    <row r="7" customFormat="false" ht="15" hidden="false" customHeight="false" outlineLevel="0" collapsed="false">
      <c r="A7" s="13" t="s">
        <v>24</v>
      </c>
      <c r="B7" s="14" t="n">
        <f aca="false">COUNTIF(Pedidos!$L$5:$L$500,A7)</f>
        <v>2</v>
      </c>
    </row>
    <row r="8" customFormat="false" ht="15" hidden="false" customHeight="false" outlineLevel="0" collapsed="false">
      <c r="A8" s="15" t="s">
        <v>59</v>
      </c>
      <c r="B8" s="16" t="n">
        <f aca="false">SUM(B4:B7)</f>
        <v>5</v>
      </c>
    </row>
    <row r="10" customFormat="false" ht="15" hidden="false" customHeight="false" outlineLevel="0" collapsed="false">
      <c r="A10" s="12" t="s">
        <v>60</v>
      </c>
      <c r="B10" s="12" t="s">
        <v>10</v>
      </c>
    </row>
    <row r="11" customFormat="false" ht="15" hidden="false" customHeight="false" outlineLevel="0" collapsed="false">
      <c r="A11" s="13" t="s">
        <v>22</v>
      </c>
      <c r="B11" s="14" t="n">
        <f aca="false">COUNTIFS(Pedidos!$J$5:$J$500,A11,Pedidos!$L$5:$L$500,"&lt;&gt;Listo",Pedidos!$L$5:$L$500,"&lt;&gt;Entregado",Pedidos!$A$5:$A$500,"&lt;&gt;")</f>
        <v>1</v>
      </c>
    </row>
    <row r="12" customFormat="false" ht="15" hidden="false" customHeight="false" outlineLevel="0" collapsed="false">
      <c r="A12" s="13" t="s">
        <v>33</v>
      </c>
      <c r="B12" s="14" t="n">
        <f aca="false">COUNTIFS(Pedidos!$J$5:$J$500,A12,Pedidos!$L$5:$L$500,"&lt;&gt;Listo",Pedidos!$L$5:$L$500,"&lt;&gt;Entregado",Pedidos!$A$5:$A$500,"&lt;&gt;")</f>
        <v>1</v>
      </c>
    </row>
    <row r="13" customFormat="false" ht="15" hidden="false" customHeight="false" outlineLevel="0" collapsed="false">
      <c r="A13" s="13" t="s">
        <v>43</v>
      </c>
      <c r="B13" s="14" t="n">
        <f aca="false">COUNTIFS(Pedidos!$J$5:$J$500,A13,Pedidos!$L$5:$L$500,"&lt;&gt;Listo",Pedidos!$L$5:$L$500,"&lt;&gt;Entregado",Pedidos!$A$5:$A$500,"&lt;&gt;")</f>
        <v>0</v>
      </c>
    </row>
    <row r="15" customFormat="false" ht="15" hidden="false" customHeight="false" outlineLevel="0" collapsed="false">
      <c r="A15" s="12" t="s">
        <v>61</v>
      </c>
      <c r="B15" s="12" t="s">
        <v>10</v>
      </c>
    </row>
    <row r="16" customFormat="false" ht="15" hidden="false" customHeight="false" outlineLevel="0" collapsed="false">
      <c r="A16" s="13" t="s">
        <v>30</v>
      </c>
      <c r="B16" s="14" t="n">
        <f aca="false">COUNTIF(Pedidos!$F$5:$F$500,A16)</f>
        <v>1</v>
      </c>
    </row>
    <row r="17" customFormat="false" ht="15" hidden="false" customHeight="false" outlineLevel="0" collapsed="false">
      <c r="A17" s="13" t="s">
        <v>40</v>
      </c>
      <c r="B17" s="14" t="n">
        <f aca="false">COUNTIF(Pedidos!$F$5:$F$500,A17)</f>
        <v>1</v>
      </c>
    </row>
    <row r="18" customFormat="false" ht="15" hidden="false" customHeight="false" outlineLevel="0" collapsed="false">
      <c r="A18" s="13" t="s">
        <v>19</v>
      </c>
      <c r="B18" s="14" t="n">
        <f aca="false">COUNTIF(Pedidos!$F$5:$F$500,A18)</f>
        <v>2</v>
      </c>
    </row>
    <row r="19" customFormat="false" ht="15" hidden="false" customHeight="false" outlineLevel="0" collapsed="false">
      <c r="A19" s="13" t="s">
        <v>54</v>
      </c>
      <c r="B19" s="14" t="n">
        <f aca="false">COUNTIF(Pedidos!$F$5:$F$500,A19)</f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27.75" hidden="false" customHeight="true" outlineLevel="0" collapsed="false">
      <c r="A1" s="1" t="s">
        <v>62</v>
      </c>
      <c r="B1" s="1"/>
      <c r="C1" s="1"/>
    </row>
    <row r="3" customFormat="false" ht="15" hidden="false" customHeight="false" outlineLevel="0" collapsed="false">
      <c r="A3" s="12" t="s">
        <v>13</v>
      </c>
      <c r="B3" s="12" t="s">
        <v>63</v>
      </c>
      <c r="C3" s="12" t="s">
        <v>64</v>
      </c>
    </row>
    <row r="4" customFormat="false" ht="31.5" hidden="false" customHeight="true" outlineLevel="0" collapsed="false">
      <c r="A4" s="17" t="s">
        <v>56</v>
      </c>
      <c r="B4" s="18" t="s">
        <v>65</v>
      </c>
      <c r="C4" s="19" t="s">
        <v>66</v>
      </c>
    </row>
    <row r="5" customFormat="false" ht="31.5" hidden="false" customHeight="true" outlineLevel="0" collapsed="false">
      <c r="A5" s="20" t="s">
        <v>35</v>
      </c>
      <c r="B5" s="18" t="s">
        <v>67</v>
      </c>
      <c r="C5" s="19" t="s">
        <v>68</v>
      </c>
    </row>
    <row r="6" customFormat="false" ht="31.5" hidden="false" customHeight="true" outlineLevel="0" collapsed="false">
      <c r="A6" s="21" t="s">
        <v>44</v>
      </c>
      <c r="B6" s="18" t="s">
        <v>69</v>
      </c>
      <c r="C6" s="19" t="s">
        <v>68</v>
      </c>
    </row>
    <row r="7" customFormat="false" ht="31.5" hidden="false" customHeight="true" outlineLevel="0" collapsed="false">
      <c r="A7" s="22" t="s">
        <v>24</v>
      </c>
      <c r="B7" s="18" t="s">
        <v>70</v>
      </c>
      <c r="C7" s="19" t="s">
        <v>68</v>
      </c>
    </row>
    <row r="9" customFormat="false" ht="15" hidden="false" customHeight="false" outlineLevel="0" collapsed="false">
      <c r="A9" s="23" t="s">
        <v>71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24" t="s">
        <v>7</v>
      </c>
      <c r="B1" s="24" t="s">
        <v>8</v>
      </c>
      <c r="C1" s="24" t="s">
        <v>11</v>
      </c>
      <c r="D1" s="24" t="s">
        <v>12</v>
      </c>
      <c r="E1" s="24" t="s">
        <v>13</v>
      </c>
      <c r="F1" s="24" t="s">
        <v>14</v>
      </c>
    </row>
    <row r="2" customFormat="false" ht="15" hidden="false" customHeight="false" outlineLevel="0" collapsed="false">
      <c r="A2" s="13" t="s">
        <v>30</v>
      </c>
      <c r="B2" s="13" t="s">
        <v>31</v>
      </c>
      <c r="C2" s="13" t="s">
        <v>22</v>
      </c>
      <c r="D2" s="13" t="s">
        <v>23</v>
      </c>
      <c r="E2" s="13" t="s">
        <v>56</v>
      </c>
      <c r="F2" s="13" t="s">
        <v>57</v>
      </c>
    </row>
    <row r="3" customFormat="false" ht="15" hidden="false" customHeight="false" outlineLevel="0" collapsed="false">
      <c r="A3" s="13" t="s">
        <v>40</v>
      </c>
      <c r="B3" s="13" t="s">
        <v>20</v>
      </c>
      <c r="C3" s="13" t="s">
        <v>33</v>
      </c>
      <c r="D3" s="13" t="s">
        <v>34</v>
      </c>
      <c r="E3" s="13" t="s">
        <v>35</v>
      </c>
      <c r="F3" s="13" t="s">
        <v>25</v>
      </c>
    </row>
    <row r="4" customFormat="false" ht="15" hidden="false" customHeight="false" outlineLevel="0" collapsed="false">
      <c r="A4" s="13" t="s">
        <v>19</v>
      </c>
      <c r="B4" s="13" t="s">
        <v>41</v>
      </c>
      <c r="C4" s="13" t="s">
        <v>43</v>
      </c>
      <c r="E4" s="13" t="s">
        <v>44</v>
      </c>
      <c r="F4" s="13" t="s">
        <v>36</v>
      </c>
    </row>
    <row r="5" customFormat="false" ht="15" hidden="false" customHeight="false" outlineLevel="0" collapsed="false">
      <c r="A5" s="13" t="s">
        <v>54</v>
      </c>
      <c r="B5" s="13" t="s">
        <v>72</v>
      </c>
      <c r="E5" s="13" t="s">
        <v>24</v>
      </c>
    </row>
    <row r="9" customFormat="false" ht="15" hidden="false" customHeight="false" outlineLevel="0" collapsed="false">
      <c r="A9" s="2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2026-10-14T15:21:00Z</dcterms:created>
  <dc:creator>openpyxl</dc:creator>
  <dc:description/>
  <dc:language>en-US</dc:language>
  <cp:lastModifiedBy/>
  <dcterms:modified xsi:type="dcterms:W3CDTF">2026-10-14T15:21:00Z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